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Desktop\LENDING CLUB DATASET\"/>
    </mc:Choice>
  </mc:AlternateContent>
  <xr:revisionPtr revIDLastSave="0" documentId="13_ncr:1_{AE93652A-0A35-4B07-B71C-2352991B22CA}" xr6:coauthVersionLast="47" xr6:coauthVersionMax="47" xr10:uidLastSave="{00000000-0000-0000-0000-000000000000}"/>
  <bookViews>
    <workbookView xWindow="-108" yWindow="-108" windowWidth="23256" windowHeight="13176" xr2:uid="{5173D4A6-7C4C-4D70-9780-7651BE7F5D4F}"/>
  </bookViews>
  <sheets>
    <sheet name="SECTION 2.1" sheetId="1" r:id="rId1"/>
    <sheet name="SECTION 2.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<sst xmlns="http://schemas.openxmlformats.org/spreadsheetml/2006/main" count="121" uniqueCount="74">
  <si>
    <t>Unknown</t>
  </si>
  <si>
    <t>Healthy</t>
  </si>
  <si>
    <t>Moderate</t>
  </si>
  <si>
    <t>Elevated</t>
  </si>
  <si>
    <t>Stress</t>
  </si>
  <si>
    <t>NO CREDIT STRESS</t>
  </si>
  <si>
    <t>CREDIT STRESS</t>
  </si>
  <si>
    <t>Low Util – Low Debt</t>
  </si>
  <si>
    <t>Low Util – HIgh Debt</t>
  </si>
  <si>
    <t>High Util – Low Debt</t>
  </si>
  <si>
    <t>High Util – High Debt</t>
  </si>
  <si>
    <t>&lt;30</t>
  </si>
  <si>
    <t>&gt;30 &amp; &lt; 50</t>
  </si>
  <si>
    <t>&gt;50 &amp; &lt;75</t>
  </si>
  <si>
    <t>&gt;75</t>
  </si>
  <si>
    <t>NULL</t>
  </si>
  <si>
    <t>SEVERE EVENT (Bankruptcy/Liens/Coll)</t>
  </si>
  <si>
    <t>CLEAN PUBLIC RECORD</t>
  </si>
  <si>
    <t>% LOAN AMT WITH NO RISK</t>
  </si>
  <si>
    <t>% LOAN AMT WITH MODERATE RISK</t>
  </si>
  <si>
    <t>% LOAN AMT WITH HIGH RISK</t>
  </si>
  <si>
    <t>C.R.U. BUCKETS</t>
  </si>
  <si>
    <t>AVERAGE RISK SCORE</t>
  </si>
  <si>
    <t>TOTAL LOANS DISBURSED</t>
  </si>
  <si>
    <t>RANGE OF BUCKETS</t>
  </si>
  <si>
    <t>AVG RISK INTENSITY SCORE</t>
  </si>
  <si>
    <t>CREDIT BUCKETS</t>
  </si>
  <si>
    <t>CRU-DEBT BUCKETS</t>
  </si>
  <si>
    <t>MEANING</t>
  </si>
  <si>
    <t>when high_credit_stress_flag = 1</t>
  </si>
  <si>
    <t>when high_credit_stress_flag = 0</t>
  </si>
  <si>
    <t>ALL BUCKETS</t>
  </si>
  <si>
    <t xml:space="preserve">when cr_util_ratio &lt;= 50 and debt_to_income &lt; 25 </t>
  </si>
  <si>
    <t>when cr_util_ratio &lt;= 50 and debt_to_income &gt;= 25</t>
  </si>
  <si>
    <t xml:space="preserve">when cr_util_ratio &gt; 75 and debt_to_income &lt; 25 </t>
  </si>
  <si>
    <t xml:space="preserve">when cr_util_ratio &gt; 75 and debt_to_income &gt;= 25 </t>
  </si>
  <si>
    <t>DEROGATORY BUCKETS</t>
  </si>
  <si>
    <t xml:space="preserve"> NO RISK -&gt; risk_intensity_score = 0</t>
  </si>
  <si>
    <t>MODERATE RISK -&gt; risk_intensity_score = 25</t>
  </si>
  <si>
    <t>HIGH RISK -&gt; risk_intensity_score &gt;= 50</t>
  </si>
  <si>
    <t>MEANINGS OF CERTAIN BUCKETS AND COLUMNS</t>
  </si>
  <si>
    <t>severe_credit_event_flag = 1</t>
  </si>
  <si>
    <t>severe_credit_event_flag = 0</t>
  </si>
  <si>
    <t xml:space="preserve">DELINQUENCY RECENCY </t>
  </si>
  <si>
    <t>TOTAL COUNT OF LOANS</t>
  </si>
  <si>
    <t>AVG D.T.I</t>
  </si>
  <si>
    <t>Never Delinquent</t>
  </si>
  <si>
    <t>Recent (0-12 Months)</t>
  </si>
  <si>
    <t>Mid-Term (13-24 Months)</t>
  </si>
  <si>
    <t>Old History (25+ Months)</t>
  </si>
  <si>
    <t>BORROWER CONDITION</t>
  </si>
  <si>
    <t>1. Stable (Clean &amp; Low Util)</t>
  </si>
  <si>
    <t>2. Stressed but Paying (High Util)</t>
  </si>
  <si>
    <t>3. Disorganized (Delinquent but Low Util)</t>
  </si>
  <si>
    <t>4. CRISIS (Delinquent + Maxed Out)</t>
  </si>
  <si>
    <t>0. Passive (0)</t>
  </si>
  <si>
    <t>1. Normal (1-3)</t>
  </si>
  <si>
    <t>2. Active (4-6)</t>
  </si>
  <si>
    <t>3. Desperate (7-9)</t>
  </si>
  <si>
    <t>4. Extreme (10+)</t>
  </si>
  <si>
    <t xml:space="preserve">months_since_last_delinq IS NULL </t>
  </si>
  <si>
    <t xml:space="preserve">months_since_last_delinq &lt;= 12 </t>
  </si>
  <si>
    <t xml:space="preserve">months_since_last_delinq &lt;= 24 </t>
  </si>
  <si>
    <t xml:space="preserve">months_since_last_delinq &gt; 24 </t>
  </si>
  <si>
    <t xml:space="preserve">recent_delinquency_flag = 0 AND high_credit_stress_flag = 0 </t>
  </si>
  <si>
    <t xml:space="preserve">recent_delinquency_flag = 0 AND high_credit_stress_flag = 1 </t>
  </si>
  <si>
    <t xml:space="preserve">recent_delinquency_flag = 1 AND high_credit_stress_flag = 0 </t>
  </si>
  <si>
    <t xml:space="preserve">recent_delinquency_flag = 1 AND high_credit_stress_flag = 1 </t>
  </si>
  <si>
    <t xml:space="preserve">inquiries_last_12m = 0 </t>
  </si>
  <si>
    <t xml:space="preserve">inquiries_last_12m BETWEEN 1 AND 3 </t>
  </si>
  <si>
    <t xml:space="preserve">inquiries_last_12m BETWEEN 4 AND 6 </t>
  </si>
  <si>
    <t xml:space="preserve">inquiries_last_12m BETWEEN 7 AND 9 </t>
  </si>
  <si>
    <t>inquiries_last_12m &gt;= 10</t>
  </si>
  <si>
    <t xml:space="preserve">CREDIT INQUIRIES IN LAST 12 MONTHS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</si>
</sst>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</font>
    <font>
      <sz val="10"/>
      <color theme="1"/>
      <name val="Arial Unicode MS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3" fillId="3" borderId="1" xfId="0" applyFont="1" applyFill="1" applyBorder="1"/>
    <xf numFmtId="2" fontId="0" fillId="0" borderId="1" xfId="0" applyNumberFormat="1" applyBorder="1"/>
    <xf numFmtId="3" fontId="0" fillId="0" borderId="1" xfId="0" applyNumberFormat="1" applyBorder="1"/>
    <xf numFmtId="0" fontId="0" fillId="0" borderId="1" xfId="0" applyBorder="1" applyAlignment="1">
      <alignment horizontal="right"/>
    </xf>
    <xf numFmtId="0" fontId="3" fillId="0" borderId="0" xfId="0" applyFont="1"/>
    <xf numFmtId="3" fontId="0" fillId="0" borderId="0" xfId="0" applyNumberFormat="1"/>
    <xf numFmtId="2" fontId="0" fillId="0" borderId="0" xfId="0" applyNumberFormat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9" fontId="6" fillId="0" borderId="4" xfId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0EF93-0C79-4B2C-AF6D-E50E67306A33}">
  <dimension ref="A3:G45"/>
  <sheetViews>
    <sheetView showGridLines="0" tabSelected="1" topLeftCell="B11" zoomScale="99" workbookViewId="0">
      <selection activeCell="D31" sqref="D31"/>
    </sheetView>
  </sheetViews>
  <sheetFormatPr defaultRowHeight="14.4"/>
  <cols>
    <col min="1" max="1" width="18.44140625" bestFit="1" customWidth="1"/>
    <col min="2" max="2" width="35.21875" bestFit="1" customWidth="1"/>
    <col min="3" max="3" width="44.5546875" bestFit="1" customWidth="1"/>
    <col min="4" max="4" width="57.5546875" customWidth="1"/>
    <col min="5" max="5" width="27.21875" bestFit="1" customWidth="1"/>
    <col min="6" max="6" width="32.77734375" bestFit="1" customWidth="1"/>
    <col min="7" max="7" width="27.21875" bestFit="1" customWidth="1"/>
  </cols>
  <sheetData>
    <row r="3" spans="1:7">
      <c r="A3" s="2" t="s">
        <v>24</v>
      </c>
      <c r="B3" s="2" t="s">
        <v>21</v>
      </c>
      <c r="C3" s="2" t="s">
        <v>23</v>
      </c>
      <c r="D3" s="2" t="s">
        <v>22</v>
      </c>
      <c r="E3" s="2" t="s">
        <v>18</v>
      </c>
      <c r="F3" s="2" t="s">
        <v>19</v>
      </c>
      <c r="G3" s="2" t="s">
        <v>20</v>
      </c>
    </row>
    <row r="4" spans="1:7">
      <c r="A4" s="3" t="s">
        <v>15</v>
      </c>
      <c r="B4" s="4" t="s">
        <v>0</v>
      </c>
      <c r="C4" s="6">
        <v>2</v>
      </c>
      <c r="D4" s="3">
        <v>0</v>
      </c>
      <c r="E4" s="5">
        <v>100</v>
      </c>
      <c r="F4" s="5">
        <v>0</v>
      </c>
      <c r="G4" s="5">
        <v>0</v>
      </c>
    </row>
    <row r="5" spans="1:7">
      <c r="A5" s="3" t="s">
        <v>11</v>
      </c>
      <c r="B5" s="4" t="s">
        <v>1</v>
      </c>
      <c r="C5" s="6">
        <v>4388</v>
      </c>
      <c r="D5" s="3">
        <v>13.46</v>
      </c>
      <c r="E5" s="5">
        <v>57.55</v>
      </c>
      <c r="F5" s="5">
        <v>35.22</v>
      </c>
      <c r="G5" s="5">
        <v>7.23</v>
      </c>
    </row>
    <row r="6" spans="1:7">
      <c r="A6" s="3" t="s">
        <v>12</v>
      </c>
      <c r="B6" s="4" t="s">
        <v>2</v>
      </c>
      <c r="C6" s="6">
        <v>1945</v>
      </c>
      <c r="D6" s="3">
        <v>13.69</v>
      </c>
      <c r="E6" s="5">
        <v>57.23</v>
      </c>
      <c r="F6" s="5">
        <v>35.869999999999997</v>
      </c>
      <c r="G6" s="5">
        <v>6.9</v>
      </c>
    </row>
    <row r="7" spans="1:7">
      <c r="A7" s="3" t="s">
        <v>13</v>
      </c>
      <c r="B7" s="4" t="s">
        <v>3</v>
      </c>
      <c r="C7" s="6">
        <v>2445</v>
      </c>
      <c r="D7" s="3">
        <v>13.83</v>
      </c>
      <c r="E7" s="5">
        <v>55.92</v>
      </c>
      <c r="F7" s="5">
        <v>36.93</v>
      </c>
      <c r="G7" s="5">
        <v>7.15</v>
      </c>
    </row>
    <row r="8" spans="1:7">
      <c r="A8" s="3" t="s">
        <v>14</v>
      </c>
      <c r="B8" s="4" t="s">
        <v>4</v>
      </c>
      <c r="C8" s="6">
        <v>1220</v>
      </c>
      <c r="D8" s="3">
        <v>34.1</v>
      </c>
      <c r="E8" s="5">
        <v>0.01</v>
      </c>
      <c r="F8" s="5">
        <v>65.73</v>
      </c>
      <c r="G8" s="5">
        <v>34.26</v>
      </c>
    </row>
    <row r="9" spans="1:7">
      <c r="B9" s="8"/>
      <c r="C9" s="9"/>
      <c r="E9" s="10"/>
      <c r="F9" s="10"/>
      <c r="G9" s="10"/>
    </row>
    <row r="11" spans="1:7">
      <c r="B11" s="2" t="s">
        <v>26</v>
      </c>
      <c r="C11" s="2" t="s">
        <v>23</v>
      </c>
      <c r="D11" s="2" t="s">
        <v>25</v>
      </c>
      <c r="E11" s="2" t="s">
        <v>20</v>
      </c>
      <c r="F11" s="20"/>
    </row>
    <row r="12" spans="1:7">
      <c r="B12" s="4" t="s">
        <v>5</v>
      </c>
      <c r="C12" s="6">
        <v>7548</v>
      </c>
      <c r="D12" s="3">
        <v>10.11</v>
      </c>
      <c r="E12" s="5">
        <v>3.1</v>
      </c>
    </row>
    <row r="13" spans="1:7">
      <c r="B13" s="4" t="s">
        <v>6</v>
      </c>
      <c r="C13" s="6">
        <v>2452</v>
      </c>
      <c r="D13" s="3">
        <v>34.57</v>
      </c>
      <c r="E13" s="5">
        <v>34.090000000000003</v>
      </c>
    </row>
    <row r="14" spans="1:7">
      <c r="D14" s="1"/>
    </row>
    <row r="17" spans="2:7">
      <c r="B17" s="2" t="s">
        <v>36</v>
      </c>
      <c r="C17" s="2" t="s">
        <v>23</v>
      </c>
      <c r="D17" s="2" t="s">
        <v>25</v>
      </c>
      <c r="E17" s="2" t="s">
        <v>20</v>
      </c>
    </row>
    <row r="18" spans="2:7">
      <c r="B18" s="4" t="s">
        <v>16</v>
      </c>
      <c r="C18" s="6">
        <v>2568</v>
      </c>
      <c r="D18" s="3">
        <v>34.24</v>
      </c>
      <c r="E18" s="5">
        <v>32.97</v>
      </c>
    </row>
    <row r="19" spans="2:7">
      <c r="B19" s="4" t="s">
        <v>17</v>
      </c>
      <c r="C19" s="6">
        <v>7432</v>
      </c>
      <c r="D19" s="3">
        <v>9.85</v>
      </c>
      <c r="E19" s="5">
        <v>2.98</v>
      </c>
    </row>
    <row r="23" spans="2:7">
      <c r="B23" s="2" t="s">
        <v>27</v>
      </c>
      <c r="C23" s="2" t="s">
        <v>23</v>
      </c>
      <c r="D23" s="2" t="s">
        <v>25</v>
      </c>
      <c r="E23" s="2" t="s">
        <v>18</v>
      </c>
      <c r="F23" s="2" t="s">
        <v>19</v>
      </c>
      <c r="G23" s="2" t="s">
        <v>20</v>
      </c>
    </row>
    <row r="24" spans="2:7">
      <c r="B24" s="4" t="s">
        <v>7</v>
      </c>
      <c r="C24" s="6">
        <v>4896</v>
      </c>
      <c r="D24" s="3">
        <v>14.12</v>
      </c>
      <c r="E24" s="5">
        <v>55.47</v>
      </c>
      <c r="F24" s="5">
        <v>36.799999999999997</v>
      </c>
      <c r="G24" s="5">
        <v>7.73</v>
      </c>
    </row>
    <row r="25" spans="2:7">
      <c r="B25" s="4" t="s">
        <v>8</v>
      </c>
      <c r="C25" s="6">
        <v>1422</v>
      </c>
      <c r="D25" s="3">
        <v>11.52</v>
      </c>
      <c r="E25" s="5">
        <v>63.72</v>
      </c>
      <c r="F25" s="5">
        <v>30.99</v>
      </c>
      <c r="G25" s="5">
        <v>5.29</v>
      </c>
    </row>
    <row r="26" spans="2:7">
      <c r="B26" s="4" t="s">
        <v>9</v>
      </c>
      <c r="C26" s="6">
        <v>869</v>
      </c>
      <c r="D26" s="3">
        <v>34</v>
      </c>
      <c r="E26" s="5">
        <v>0</v>
      </c>
      <c r="F26" s="5">
        <v>65.52</v>
      </c>
      <c r="G26" s="5">
        <v>34.479999999999997</v>
      </c>
    </row>
    <row r="27" spans="2:7">
      <c r="B27" s="4" t="s">
        <v>10</v>
      </c>
      <c r="C27" s="6">
        <v>345</v>
      </c>
      <c r="D27" s="3">
        <v>34.130000000000003</v>
      </c>
      <c r="E27" s="5">
        <v>0</v>
      </c>
      <c r="F27" s="5">
        <v>67.180000000000007</v>
      </c>
      <c r="G27" s="5">
        <v>32.82</v>
      </c>
    </row>
    <row r="30" spans="2:7">
      <c r="C30" s="17" t="s">
        <v>40</v>
      </c>
      <c r="D30" s="18"/>
      <c r="E30" s="11"/>
    </row>
    <row r="31" spans="2:7">
      <c r="C31" s="2" t="s">
        <v>31</v>
      </c>
      <c r="D31" s="2" t="s">
        <v>28</v>
      </c>
    </row>
    <row r="32" spans="2:7">
      <c r="C32" s="4" t="s">
        <v>5</v>
      </c>
      <c r="D32" s="7" t="s">
        <v>30</v>
      </c>
    </row>
    <row r="33" spans="3:4">
      <c r="C33" s="4" t="s">
        <v>6</v>
      </c>
      <c r="D33" s="7" t="s">
        <v>29</v>
      </c>
    </row>
    <row r="34" spans="3:4">
      <c r="C34" s="4" t="s">
        <v>18</v>
      </c>
      <c r="D34" s="7" t="s">
        <v>37</v>
      </c>
    </row>
    <row r="35" spans="3:4">
      <c r="C35" s="4" t="s">
        <v>19</v>
      </c>
      <c r="D35" s="7" t="s">
        <v>38</v>
      </c>
    </row>
    <row r="36" spans="3:4">
      <c r="C36" s="4" t="s">
        <v>20</v>
      </c>
      <c r="D36" s="7" t="s">
        <v>39</v>
      </c>
    </row>
    <row r="37" spans="3:4">
      <c r="C37" s="4" t="s">
        <v>7</v>
      </c>
      <c r="D37" s="7" t="s">
        <v>32</v>
      </c>
    </row>
    <row r="38" spans="3:4">
      <c r="C38" s="4" t="s">
        <v>8</v>
      </c>
      <c r="D38" s="7" t="s">
        <v>33</v>
      </c>
    </row>
    <row r="39" spans="3:4">
      <c r="C39" s="4" t="s">
        <v>9</v>
      </c>
      <c r="D39" s="7" t="s">
        <v>34</v>
      </c>
    </row>
    <row r="40" spans="3:4">
      <c r="C40" s="4" t="s">
        <v>10</v>
      </c>
      <c r="D40" s="7" t="s">
        <v>35</v>
      </c>
    </row>
    <row r="41" spans="3:4">
      <c r="C41" s="4" t="s">
        <v>16</v>
      </c>
      <c r="D41" s="7" t="s">
        <v>41</v>
      </c>
    </row>
    <row r="42" spans="3:4">
      <c r="C42" s="4" t="s">
        <v>17</v>
      </c>
      <c r="D42" s="7" t="s">
        <v>42</v>
      </c>
    </row>
    <row r="44" spans="3:4" s="19" customFormat="1"/>
    <row r="45" spans="3:4" s="19" customFormat="1"/>
  </sheetData>
  <mergeCells count="2">
    <mergeCell ref="C30:D30"/>
    <mergeCell ref="A44:XFD45"/>
  </mergeCells>
  <conditionalFormatting sqref="E12:E13">
    <cfRule type="dataBar" priority="13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{BDB4FDC9-1E75-4410-B92F-F7CFDFA85C56}</x14:id>
        </ext>
      </extLst>
    </cfRule>
    <cfRule type="dataBar" priority="14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{533F8F0F-8EE4-4AB2-AB4C-5B581946EAC4}</x14:id>
        </ext>
      </extLst>
    </cfRule>
  </conditionalFormatting>
  <conditionalFormatting sqref="E18:E19">
    <cfRule type="dataBar" priority="9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{C2F6FE8D-C53F-4362-AC1C-51CC20CE092E}</x14:id>
        </ext>
      </extLst>
    </cfRule>
    <cfRule type="dataBar" priority="10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{9A5A5CDC-3DC5-4F94-9D27-99B8DA45A666}</x14:id>
        </ext>
      </extLst>
    </cfRule>
  </conditionalFormatting>
  <conditionalFormatting sqref="E4:G9">
    <cfRule type="dataBar" priority="15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{5015199A-CBAE-44D0-BE9A-EC0B529416AC}</x14:id>
        </ext>
      </extLst>
    </cfRule>
    <cfRule type="dataBar" priority="16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{95FE01ED-E329-49FE-A478-D97670704117}</x14:id>
        </ext>
      </extLst>
    </cfRule>
  </conditionalFormatting>
  <conditionalFormatting sqref="E24:G27">
    <cfRule type="dataBar" priority="11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{BCB6474F-FBC9-4516-B548-E0EAD857B4F4}</x14:id>
        </ext>
      </extLst>
    </cfRule>
    <cfRule type="dataBar" priority="12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{EB25C0DC-27F4-4FB8-ACE3-153194BD1A26}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B4FDC9-1E75-4410-B92F-F7CFDFA85C56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3F8F0F-8EE4-4AB2-AB4C-5B581946EAC4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E12:E13</xm:sqref>
        </x14:conditionalFormatting>
        <x14:conditionalFormatting xmlns:xm="http://schemas.microsoft.com/office/excel/2006/main">
          <x14:cfRule type="dataBar" id="{C2F6FE8D-C53F-4362-AC1C-51CC20CE092E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A5A5CDC-3DC5-4F94-9D27-99B8DA45A666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E18:E19</xm:sqref>
        </x14:conditionalFormatting>
        <x14:conditionalFormatting xmlns:xm="http://schemas.microsoft.com/office/excel/2006/main">
          <x14:cfRule type="dataBar" id="{5015199A-CBAE-44D0-BE9A-EC0B529416AC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FE01ED-E329-49FE-A478-D97670704117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E4:G9</xm:sqref>
        </x14:conditionalFormatting>
        <x14:conditionalFormatting xmlns:xm="http://schemas.microsoft.com/office/excel/2006/main">
          <x14:cfRule type="dataBar" id="{BCB6474F-FBC9-4516-B548-E0EAD857B4F4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25C0DC-27F4-4FB8-ACE3-153194BD1A26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E24:G27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82ACD-EC01-45CA-9FC4-ED6E3E424213}">
  <dimension ref="D7:H41"/>
  <sheetViews>
    <sheetView showGridLines="0" showRowColHeaders="0" topLeftCell="C1" workbookViewId="0">
      <selection activeCell="E4" sqref="E4"/>
    </sheetView>
  </sheetViews>
  <sheetFormatPr defaultRowHeight="14.4"/>
  <cols>
    <col min="4" max="5" width="35.88671875" bestFit="1" customWidth="1"/>
    <col min="6" max="6" width="51.44140625" bestFit="1" customWidth="1"/>
    <col min="7" max="7" width="24.44140625" bestFit="1" customWidth="1"/>
    <col min="8" max="8" width="26.44140625" bestFit="1" customWidth="1"/>
  </cols>
  <sheetData>
    <row r="7" spans="4:8">
      <c r="D7" s="2" t="s">
        <v>43</v>
      </c>
      <c r="E7" s="2" t="s">
        <v>44</v>
      </c>
      <c r="F7" s="2" t="s">
        <v>45</v>
      </c>
      <c r="G7" s="2" t="s">
        <v>25</v>
      </c>
      <c r="H7" s="2" t="s">
        <v>20</v>
      </c>
    </row>
    <row r="8" spans="4:8">
      <c r="D8" s="4" t="s">
        <v>46</v>
      </c>
      <c r="E8" s="6">
        <v>5658</v>
      </c>
      <c r="F8" s="3">
        <v>17.989999999999998</v>
      </c>
      <c r="G8" s="5">
        <v>12.27</v>
      </c>
      <c r="H8" s="5">
        <v>5.12</v>
      </c>
    </row>
    <row r="9" spans="4:8">
      <c r="D9" s="4" t="s">
        <v>47</v>
      </c>
      <c r="E9" s="6">
        <v>638</v>
      </c>
      <c r="F9" s="3">
        <v>17.05</v>
      </c>
      <c r="G9" s="5">
        <v>34.950000000000003</v>
      </c>
      <c r="H9" s="5">
        <v>34.130000000000003</v>
      </c>
    </row>
    <row r="10" spans="4:8">
      <c r="D10" s="4" t="s">
        <v>48</v>
      </c>
      <c r="E10" s="6">
        <v>852</v>
      </c>
      <c r="F10" s="3">
        <v>16.47</v>
      </c>
      <c r="G10" s="5">
        <v>35.92</v>
      </c>
      <c r="H10" s="5">
        <v>38.83</v>
      </c>
    </row>
    <row r="11" spans="4:8">
      <c r="D11" s="4" t="s">
        <v>49</v>
      </c>
      <c r="E11" s="6">
        <v>2852</v>
      </c>
      <c r="F11" s="3">
        <v>17.75</v>
      </c>
      <c r="G11" s="5">
        <v>13.59</v>
      </c>
      <c r="H11" s="5">
        <v>6.74</v>
      </c>
    </row>
    <row r="14" spans="4:8">
      <c r="D14" s="2" t="s">
        <v>50</v>
      </c>
      <c r="E14" s="2" t="s">
        <v>44</v>
      </c>
      <c r="F14" s="2" t="s">
        <v>45</v>
      </c>
      <c r="G14" s="2" t="s">
        <v>25</v>
      </c>
      <c r="H14" s="2" t="s">
        <v>20</v>
      </c>
    </row>
    <row r="15" spans="4:8">
      <c r="D15" s="4" t="s">
        <v>51</v>
      </c>
      <c r="E15" s="6">
        <v>6455</v>
      </c>
      <c r="F15" s="3">
        <v>18.04</v>
      </c>
      <c r="G15" s="5">
        <v>6.57</v>
      </c>
      <c r="H15" s="5">
        <v>0</v>
      </c>
    </row>
    <row r="16" spans="4:8">
      <c r="D16" s="4" t="s">
        <v>52</v>
      </c>
      <c r="E16" s="6">
        <v>2121</v>
      </c>
      <c r="F16" s="3">
        <v>17.440000000000001</v>
      </c>
      <c r="G16" s="5">
        <v>31.26</v>
      </c>
      <c r="H16" s="5">
        <v>24.45</v>
      </c>
    </row>
    <row r="17" spans="4:8">
      <c r="D17" s="4" t="s">
        <v>53</v>
      </c>
      <c r="E17" s="6">
        <v>1093</v>
      </c>
      <c r="F17" s="3">
        <v>16.57</v>
      </c>
      <c r="G17" s="5">
        <v>31.04</v>
      </c>
      <c r="H17" s="5">
        <v>22.36</v>
      </c>
    </row>
    <row r="18" spans="4:8">
      <c r="D18" s="4" t="s">
        <v>54</v>
      </c>
      <c r="E18" s="6">
        <v>331</v>
      </c>
      <c r="F18" s="3">
        <v>17.55</v>
      </c>
      <c r="G18" s="5">
        <v>55.82</v>
      </c>
      <c r="H18" s="5">
        <v>100</v>
      </c>
    </row>
    <row r="20" spans="4:8">
      <c r="D20" s="2" t="s">
        <v>73</v>
      </c>
      <c r="E20" s="2" t="s">
        <v>44</v>
      </c>
      <c r="F20" s="2" t="s">
        <v>45</v>
      </c>
      <c r="G20" s="2" t="s">
        <v>25</v>
      </c>
      <c r="H20" s="2" t="s">
        <v>20</v>
      </c>
    </row>
    <row r="21" spans="4:8">
      <c r="D21" s="4" t="s">
        <v>55</v>
      </c>
      <c r="E21" s="6">
        <v>3060</v>
      </c>
      <c r="F21" s="3">
        <v>17.57</v>
      </c>
      <c r="G21" s="5">
        <v>15.56</v>
      </c>
      <c r="H21" s="5">
        <v>9.4700000000000006</v>
      </c>
    </row>
    <row r="22" spans="4:8">
      <c r="D22" s="4" t="s">
        <v>56</v>
      </c>
      <c r="E22" s="6">
        <v>5162</v>
      </c>
      <c r="F22" s="3">
        <v>17.73</v>
      </c>
      <c r="G22" s="5">
        <v>15.87</v>
      </c>
      <c r="H22" s="5">
        <v>10.029999999999999</v>
      </c>
    </row>
    <row r="23" spans="4:8">
      <c r="D23" s="4" t="s">
        <v>57</v>
      </c>
      <c r="E23" s="6">
        <v>1274</v>
      </c>
      <c r="F23" s="3">
        <v>17.78</v>
      </c>
      <c r="G23" s="5">
        <v>17.329999999999998</v>
      </c>
      <c r="H23" s="5">
        <v>10.83</v>
      </c>
    </row>
    <row r="24" spans="4:8">
      <c r="D24" s="4" t="s">
        <v>58</v>
      </c>
      <c r="E24" s="6">
        <v>340</v>
      </c>
      <c r="F24" s="3">
        <v>18.309999999999999</v>
      </c>
      <c r="G24" s="5">
        <v>18.239999999999998</v>
      </c>
      <c r="H24" s="5">
        <v>11.95</v>
      </c>
    </row>
    <row r="25" spans="4:8">
      <c r="D25" s="4" t="s">
        <v>59</v>
      </c>
      <c r="E25" s="6">
        <v>164</v>
      </c>
      <c r="F25" s="3">
        <v>19.350000000000001</v>
      </c>
      <c r="G25" s="5">
        <v>20.12</v>
      </c>
      <c r="H25" s="5">
        <v>12.5</v>
      </c>
    </row>
    <row r="27" spans="4:8">
      <c r="E27" s="16" t="s">
        <v>40</v>
      </c>
      <c r="F27" s="16"/>
      <c r="G27" s="13"/>
    </row>
    <row r="28" spans="4:8">
      <c r="E28" s="2" t="s">
        <v>31</v>
      </c>
      <c r="F28" s="2" t="s">
        <v>28</v>
      </c>
      <c r="G28" s="14"/>
    </row>
    <row r="29" spans="4:8">
      <c r="E29" s="4" t="s">
        <v>46</v>
      </c>
      <c r="F29" s="12" t="s">
        <v>60</v>
      </c>
      <c r="G29" s="15"/>
    </row>
    <row r="30" spans="4:8">
      <c r="E30" s="4" t="s">
        <v>47</v>
      </c>
      <c r="F30" s="12" t="s">
        <v>61</v>
      </c>
      <c r="G30" s="15"/>
    </row>
    <row r="31" spans="4:8">
      <c r="E31" s="4" t="s">
        <v>48</v>
      </c>
      <c r="F31" s="12" t="s">
        <v>62</v>
      </c>
      <c r="G31" s="15"/>
    </row>
    <row r="32" spans="4:8">
      <c r="E32" s="4" t="s">
        <v>49</v>
      </c>
      <c r="F32" s="12" t="s">
        <v>63</v>
      </c>
      <c r="G32" s="15"/>
    </row>
    <row r="33" spans="5:7">
      <c r="E33" s="4" t="s">
        <v>51</v>
      </c>
      <c r="F33" s="12" t="s">
        <v>64</v>
      </c>
      <c r="G33" s="15"/>
    </row>
    <row r="34" spans="5:7">
      <c r="E34" s="4" t="s">
        <v>52</v>
      </c>
      <c r="F34" s="12" t="s">
        <v>65</v>
      </c>
      <c r="G34" s="15"/>
    </row>
    <row r="35" spans="5:7">
      <c r="E35" s="4" t="s">
        <v>53</v>
      </c>
      <c r="F35" s="12" t="s">
        <v>66</v>
      </c>
      <c r="G35" s="15"/>
    </row>
    <row r="36" spans="5:7">
      <c r="E36" s="4" t="s">
        <v>54</v>
      </c>
      <c r="F36" s="12" t="s">
        <v>67</v>
      </c>
      <c r="G36" s="15"/>
    </row>
    <row r="37" spans="5:7">
      <c r="E37" s="4" t="s">
        <v>55</v>
      </c>
      <c r="F37" s="12" t="s">
        <v>68</v>
      </c>
      <c r="G37" s="15"/>
    </row>
    <row r="38" spans="5:7">
      <c r="E38" s="4" t="s">
        <v>56</v>
      </c>
      <c r="F38" s="12" t="s">
        <v>69</v>
      </c>
      <c r="G38" s="15"/>
    </row>
    <row r="39" spans="5:7">
      <c r="E39" s="4" t="s">
        <v>57</v>
      </c>
      <c r="F39" s="12" t="s">
        <v>70</v>
      </c>
      <c r="G39" s="15"/>
    </row>
    <row r="40" spans="5:7">
      <c r="E40" s="4" t="s">
        <v>58</v>
      </c>
      <c r="F40" s="12" t="s">
        <v>71</v>
      </c>
      <c r="G40" s="15"/>
    </row>
    <row r="41" spans="5:7">
      <c r="E41" s="4" t="s">
        <v>59</v>
      </c>
      <c r="F41" s="12" t="s">
        <v>72</v>
      </c>
      <c r="G41" s="15"/>
    </row>
  </sheetData>
  <mergeCells count="1">
    <mergeCell ref="E27:F27"/>
  </mergeCells>
  <conditionalFormatting sqref="H8:H11">
    <cfRule type="dataBar" priority="7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{691D1E5F-587D-475E-BD07-C0F9593616B3}</x14:id>
        </ext>
      </extLst>
    </cfRule>
    <cfRule type="dataBar" priority="8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{4C701325-A69C-4A3F-932B-CA7948C9C917}</x14:id>
        </ext>
      </extLst>
    </cfRule>
  </conditionalFormatting>
  <conditionalFormatting sqref="H15:H18">
    <cfRule type="dataBar" priority="5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{29D0BD92-7CD3-4040-A313-66E03D4F982E}</x14:id>
        </ext>
      </extLst>
    </cfRule>
    <cfRule type="dataBar" priority="6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{D84931CC-A5BF-4DB4-9816-EA0B40078875}</x14:id>
        </ext>
      </extLst>
    </cfRule>
  </conditionalFormatting>
  <conditionalFormatting sqref="H21:H24">
    <cfRule type="dataBar" priority="3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{76FC25E3-061E-498F-8D51-75749DC31CFF}</x14:id>
        </ext>
      </extLst>
    </cfRule>
    <cfRule type="dataBar" priority="4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{A64B14A6-9EE2-4EA1-99AD-D8875F5A3480}</x14:id>
        </ext>
      </extLst>
    </cfRule>
  </conditionalFormatting>
  <conditionalFormatting sqref="H25">
    <cfRule type="dataBar" priority="1">
      <dataBar>
        <cfvo type="num" val="0"/>
        <cfvo type="num" val="100"/>
        <color rgb="FF008AEF"/>
      </dataBar>
      <extLst>
        <ext xmlns:x14="http://schemas.microsoft.com/office/spreadsheetml/2009/9/main" uri="{B025F937-C7B1-47D3-B67F-A62EFF666E3E}">
          <x14:id>{E5842BAC-43B3-4D4E-9268-D47FB8CBB61D}</x14:id>
        </ext>
      </extLst>
    </cfRule>
    <cfRule type="dataBar" priority="2">
      <dataBar>
        <cfvo type="percent" val="0"/>
        <cfvo type="percent" val="100"/>
        <color rgb="FF638EC6"/>
      </dataBar>
      <extLst>
        <ext xmlns:x14="http://schemas.microsoft.com/office/spreadsheetml/2009/9/main" uri="{B025F937-C7B1-47D3-B67F-A62EFF666E3E}">
          <x14:id>{1AF52337-44DB-43CF-9376-F3A710B4C19B}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1D1E5F-587D-475E-BD07-C0F9593616B3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C701325-A69C-4A3F-932B-CA7948C9C917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H8:H11</xm:sqref>
        </x14:conditionalFormatting>
        <x14:conditionalFormatting xmlns:xm="http://schemas.microsoft.com/office/excel/2006/main">
          <x14:cfRule type="dataBar" id="{29D0BD92-7CD3-4040-A313-66E03D4F982E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84931CC-A5BF-4DB4-9816-EA0B40078875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H15:H18</xm:sqref>
        </x14:conditionalFormatting>
        <x14:conditionalFormatting xmlns:xm="http://schemas.microsoft.com/office/excel/2006/main">
          <x14:cfRule type="dataBar" id="{76FC25E3-061E-498F-8D51-75749DC31CFF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4B14A6-9EE2-4EA1-99AD-D8875F5A3480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H21:H24</xm:sqref>
        </x14:conditionalFormatting>
        <x14:conditionalFormatting xmlns:xm="http://schemas.microsoft.com/office/excel/2006/main">
          <x14:cfRule type="dataBar" id="{E5842BAC-43B3-4D4E-9268-D47FB8CBB61D}">
            <x14:dataBar minLength="0" maxLength="100" border="1" negativeBarBorderColorSameAsPositive="0">
              <x14:cfvo type="num">
                <xm:f>0</xm:f>
              </x14:cfvo>
              <x14:cfvo type="num">
                <xm:f>100</xm:f>
              </x14:cfvo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F52337-44DB-43CF-9376-F3A710B4C19B}">
            <x14:dataBar minLength="0" maxLength="100" gradient="0">
              <x14:cfvo type="percent">
                <xm:f>0</xm:f>
              </x14:cfvo>
              <x14:cfvo type="percent">
                <xm:f>100</xm:f>
              </x14:cfvo>
              <x14:negativeFillColor rgb="FFFF0000"/>
              <x14:axisColor rgb="FF000000"/>
            </x14:dataBar>
          </x14:cfRule>
          <xm:sqref>H25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SECTION 2.1</vt:lpstr>
      <vt:lpstr>SECTION 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Piyush Saraf</dc:creator>
  <cp:lastModifiedBy>Piyush Saraf</cp:lastModifiedBy>
  <dcterms:created xsi:type="dcterms:W3CDTF">2026-02-03T14:37:34Z</dcterms:created>
  <dcterms:modified xsi:type="dcterms:W3CDTF">2026-02-05T14:19:56Z</dcterms:modified>
</cp:coreProperties>
</file>
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LENDING CLUB DATASET\"/>
    </mc:Choice>
  </mc:AlternateContent>
  <xr:revisionPtr revIDLastSave="0" documentId="13_ncr:1_{559BF713-7E69-477F-B9F9-F87533139575}" xr6:coauthVersionLast="47" xr6:coauthVersionMax="47" xr10:uidLastSave="{00000000-0000-0000-0000-000000000000}"/>
  <bookViews>
    <workbookView xWindow="-108" yWindow="-108" windowWidth="23256" windowHeight="13176" xr2:uid="{BC777588-EE2B-4169-A36B-412E9A00C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C19" i="1"/>
</calcChain>
</file>

<file path=xl/sharedStrings.xml><?xml version="1.0" encoding="utf-8"?>
<sst xmlns="http://schemas.openxmlformats.org/spreadsheetml/2006/main" count="56" uniqueCount="41">
  <si>
    <t>Charged Off</t>
  </si>
  <si>
    <t>Current</t>
  </si>
  <si>
    <t>Fully Paid</t>
  </si>
  <si>
    <t>In Grace Period</t>
  </si>
  <si>
    <t>Late (16-30 Days)</t>
  </si>
  <si>
    <t>Late (31-120 Days)</t>
  </si>
  <si>
    <t>A</t>
  </si>
  <si>
    <t>B</t>
  </si>
  <si>
    <t>C</t>
  </si>
  <si>
    <t>D</t>
  </si>
  <si>
    <t>E</t>
  </si>
  <si>
    <t>F</t>
  </si>
  <si>
    <t>G</t>
  </si>
  <si>
    <t>GRADE</t>
  </si>
  <si>
    <t>100k – 150k</t>
  </si>
  <si>
    <t>40k – 70k</t>
  </si>
  <si>
    <t>70k – 100k</t>
  </si>
  <si>
    <t>&gt;= 150k</t>
  </si>
  <si>
    <t>&lt;= 40k</t>
  </si>
  <si>
    <t>5k – 10k</t>
  </si>
  <si>
    <t>20k – 30k</t>
  </si>
  <si>
    <t>&gt;= 30k</t>
  </si>
  <si>
    <t>&lt;= 5k</t>
  </si>
  <si>
    <t>10k – 20k</t>
  </si>
  <si>
    <t>Loan Status</t>
  </si>
  <si>
    <t>Total Number of Loans</t>
  </si>
  <si>
    <t>TOTAL COUNT OF LOANS</t>
  </si>
  <si>
    <t>AVG ANNUAL INCOME($)</t>
  </si>
  <si>
    <t>TOTAL LOAN DISBURSED($)</t>
  </si>
  <si>
    <t>RISK SCORE</t>
  </si>
  <si>
    <t>COUNT OF LOANS</t>
  </si>
  <si>
    <t>TOTAL AMOUNT($)</t>
  </si>
  <si>
    <t>% OF LOAN AMT DISBURSED</t>
  </si>
  <si>
    <t>PERCENT OF LOAN COUNTS</t>
  </si>
  <si>
    <t>COUNT OF LOANS CATERGORISED BY GRADE AND RISK SCORE</t>
  </si>
  <si>
    <t xml:space="preserve">RISKY PERCENT OF LOANS </t>
  </si>
  <si>
    <t>RISKY PERCENT OF LOAN AMT.</t>
  </si>
  <si>
    <t>AVG. RISK SCORE</t>
  </si>
  <si>
    <t>INCOME BUCKETS</t>
  </si>
  <si>
    <t>LOAN BUCKETS</t>
  </si>
  <si>
    <t>RISKY MEANS WHEN THE RISK INTENSITY SCORE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</si>
</sst>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#,##0.00_ ;\-#,##0.00\ 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/>
    </xf>
    <xf numFmtId="164" fontId="0" fillId="0" borderId="0" xfId="0" applyNumberFormat="1"/>
    <xf numFmtId="165" fontId="0" fillId="0" borderId="1" xfId="0" applyNumberFormat="1" applyBorder="1"/>
    <xf numFmtId="2" fontId="0" fillId="0" borderId="0" xfId="0" applyNumberFormat="1"/>
    <xf numFmtId="4" fontId="0" fillId="0" borderId="1" xfId="1" applyNumberFormat="1" applyFont="1" applyBorder="1"/>
    <xf numFmtId="2" fontId="0" fillId="0" borderId="1" xfId="0" applyNumberFormat="1" applyBorder="1"/>
    <xf numFmtId="3" fontId="0" fillId="0" borderId="1" xfId="0" applyNumberFormat="1" applyBorder="1"/>
    <xf numFmtId="0" fontId="3" fillId="2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5" fontId="3" fillId="5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26EC-2036-44F3-AE98-566983C3F2FB}">
  <dimension ref="B1:K51"/>
  <sheetViews>
    <sheetView showGridLines="0" tabSelected="1" workbookViewId="0">
      <selection activeCell="E18" sqref="E18"/>
    </sheetView>
  </sheetViews>
  <sheetFormatPr defaultRowHeight="14.4" x14ac:dyDescent="0.3"/>
  <cols>
    <col min="1" max="1" width="8.6640625" bestFit="1" customWidth="1"/>
    <col min="2" max="2" width="16.33203125" bestFit="1" customWidth="1"/>
    <col min="3" max="3" width="26.21875" bestFit="1" customWidth="1"/>
    <col min="4" max="4" width="27" bestFit="1" customWidth="1"/>
    <col min="5" max="5" width="30.44140625" bestFit="1" customWidth="1"/>
    <col min="6" max="6" width="28.77734375" bestFit="1" customWidth="1"/>
    <col min="7" max="7" width="16.21875" bestFit="1" customWidth="1"/>
    <col min="8" max="8" width="20.33203125" bestFit="1" customWidth="1"/>
    <col min="9" max="9" width="25.6640625" bestFit="1" customWidth="1"/>
    <col min="10" max="10" width="29.33203125" bestFit="1" customWidth="1"/>
    <col min="11" max="11" width="27.88671875" bestFit="1" customWidth="1"/>
    <col min="12" max="12" width="24.44140625" bestFit="1" customWidth="1"/>
    <col min="13" max="13" width="25.109375" bestFit="1" customWidth="1"/>
    <col min="14" max="14" width="3" bestFit="1" customWidth="1"/>
  </cols>
  <sheetData>
    <row r="1" spans="2:11" x14ac:dyDescent="0.3">
      <c r="K1" s="8"/>
    </row>
    <row r="4" spans="2:11" x14ac:dyDescent="0.3">
      <c r="B4" s="3" t="s">
        <v>29</v>
      </c>
      <c r="C4" s="3" t="s">
        <v>30</v>
      </c>
      <c r="D4" s="3" t="s">
        <v>31</v>
      </c>
      <c r="E4" s="3" t="s">
        <v>33</v>
      </c>
      <c r="F4" s="3" t="s">
        <v>32</v>
      </c>
    </row>
    <row r="5" spans="2:11" x14ac:dyDescent="0.3">
      <c r="B5" s="5">
        <v>0</v>
      </c>
      <c r="C5" s="2">
        <v>4759</v>
      </c>
      <c r="D5" s="9">
        <v>83224850</v>
      </c>
      <c r="E5" s="10">
        <v>47.59</v>
      </c>
      <c r="F5" s="10">
        <v>50.86</v>
      </c>
    </row>
    <row r="6" spans="2:11" x14ac:dyDescent="0.3">
      <c r="B6" s="5">
        <v>25</v>
      </c>
      <c r="C6" s="2">
        <v>4115</v>
      </c>
      <c r="D6" s="9">
        <v>63903575</v>
      </c>
      <c r="E6" s="10">
        <v>41.15</v>
      </c>
      <c r="F6" s="10">
        <v>39.06</v>
      </c>
      <c r="H6" s="6"/>
    </row>
    <row r="7" spans="2:11" x14ac:dyDescent="0.3">
      <c r="B7" s="5">
        <v>50</v>
      </c>
      <c r="C7" s="2">
        <v>1049</v>
      </c>
      <c r="D7" s="9">
        <v>15511925</v>
      </c>
      <c r="E7" s="10">
        <v>10.49</v>
      </c>
      <c r="F7" s="10">
        <v>9.48</v>
      </c>
    </row>
    <row r="8" spans="2:11" x14ac:dyDescent="0.3">
      <c r="B8" s="5">
        <v>75</v>
      </c>
      <c r="C8" s="2">
        <v>77</v>
      </c>
      <c r="D8" s="9">
        <v>978875</v>
      </c>
      <c r="E8" s="10">
        <v>0.77</v>
      </c>
      <c r="F8" s="10">
        <v>0.6</v>
      </c>
    </row>
    <row r="11" spans="2:11" x14ac:dyDescent="0.3">
      <c r="B11" s="3" t="s">
        <v>13</v>
      </c>
      <c r="C11" s="3" t="s">
        <v>26</v>
      </c>
      <c r="D11" s="3" t="s">
        <v>27</v>
      </c>
      <c r="E11" s="3" t="s">
        <v>28</v>
      </c>
      <c r="G11" s="3" t="s">
        <v>24</v>
      </c>
      <c r="H11" s="3" t="s">
        <v>25</v>
      </c>
    </row>
    <row r="12" spans="2:11" x14ac:dyDescent="0.3">
      <c r="B12" s="4" t="s">
        <v>6</v>
      </c>
      <c r="C12" s="2">
        <v>2459</v>
      </c>
      <c r="D12" s="7">
        <v>89078.29</v>
      </c>
      <c r="E12" s="7">
        <v>37867450</v>
      </c>
      <c r="G12" s="4" t="s">
        <v>0</v>
      </c>
      <c r="H12" s="2">
        <v>7</v>
      </c>
    </row>
    <row r="13" spans="2:11" x14ac:dyDescent="0.3">
      <c r="B13" s="4" t="s">
        <v>7</v>
      </c>
      <c r="C13" s="2">
        <v>3037</v>
      </c>
      <c r="D13" s="7">
        <v>80496.88</v>
      </c>
      <c r="E13" s="7">
        <v>49355200</v>
      </c>
      <c r="G13" s="4" t="s">
        <v>1</v>
      </c>
      <c r="H13" s="2">
        <v>9375</v>
      </c>
    </row>
    <row r="14" spans="2:11" x14ac:dyDescent="0.3">
      <c r="B14" s="4" t="s">
        <v>8</v>
      </c>
      <c r="C14" s="2">
        <v>2653</v>
      </c>
      <c r="D14" s="7">
        <v>74297.2</v>
      </c>
      <c r="E14" s="7">
        <v>44678275</v>
      </c>
      <c r="G14" s="4" t="s">
        <v>2</v>
      </c>
      <c r="H14" s="2">
        <v>447</v>
      </c>
    </row>
    <row r="15" spans="2:11" x14ac:dyDescent="0.3">
      <c r="B15" s="4" t="s">
        <v>9</v>
      </c>
      <c r="C15" s="2">
        <v>1446</v>
      </c>
      <c r="D15" s="7">
        <v>71730.12</v>
      </c>
      <c r="E15" s="7">
        <v>24024175</v>
      </c>
      <c r="G15" s="4" t="s">
        <v>3</v>
      </c>
      <c r="H15" s="2">
        <v>67</v>
      </c>
    </row>
    <row r="16" spans="2:11" x14ac:dyDescent="0.3">
      <c r="B16" s="4" t="s">
        <v>10</v>
      </c>
      <c r="C16" s="2">
        <v>335</v>
      </c>
      <c r="D16" s="7">
        <v>67548.09</v>
      </c>
      <c r="E16" s="7">
        <v>6117450</v>
      </c>
      <c r="G16" s="4" t="s">
        <v>4</v>
      </c>
      <c r="H16" s="2">
        <v>38</v>
      </c>
    </row>
    <row r="17" spans="2:9" x14ac:dyDescent="0.3">
      <c r="B17" s="4" t="s">
        <v>11</v>
      </c>
      <c r="C17" s="2">
        <v>58</v>
      </c>
      <c r="D17" s="7">
        <v>75540.69</v>
      </c>
      <c r="E17" s="7">
        <v>1271525</v>
      </c>
      <c r="G17" s="4" t="s">
        <v>5</v>
      </c>
      <c r="H17" s="2">
        <v>66</v>
      </c>
    </row>
    <row r="18" spans="2:9" x14ac:dyDescent="0.3">
      <c r="B18" s="4" t="s">
        <v>12</v>
      </c>
      <c r="C18" s="2">
        <v>12</v>
      </c>
      <c r="D18" s="7">
        <v>72227.58</v>
      </c>
      <c r="E18" s="7">
        <v>305150</v>
      </c>
    </row>
    <row r="19" spans="2:9" x14ac:dyDescent="0.3">
      <c r="C19" s="12">
        <f>SUM(C12:C18)</f>
        <v>10000</v>
      </c>
      <c r="D19" s="13"/>
      <c r="E19" s="14">
        <f t="shared" ref="E19" si="0">SUM(E12:E18)</f>
        <v>163619225</v>
      </c>
    </row>
    <row r="21" spans="2:9" x14ac:dyDescent="0.3">
      <c r="C21" s="15" t="s">
        <v>34</v>
      </c>
      <c r="D21" s="15"/>
      <c r="E21" s="15"/>
    </row>
    <row r="22" spans="2:9" x14ac:dyDescent="0.3">
      <c r="B22" s="3" t="s">
        <v>13</v>
      </c>
      <c r="C22" s="3">
        <v>0</v>
      </c>
      <c r="D22" s="3">
        <v>25</v>
      </c>
      <c r="E22" s="3">
        <v>50</v>
      </c>
      <c r="F22" s="3">
        <v>75</v>
      </c>
    </row>
    <row r="23" spans="2:9" x14ac:dyDescent="0.3">
      <c r="B23" s="4" t="s">
        <v>6</v>
      </c>
      <c r="C23" s="11">
        <v>1538</v>
      </c>
      <c r="D23" s="11">
        <v>785</v>
      </c>
      <c r="E23" s="11">
        <v>128</v>
      </c>
      <c r="F23" s="11">
        <v>8</v>
      </c>
    </row>
    <row r="24" spans="2:9" x14ac:dyDescent="0.3">
      <c r="B24" s="4" t="s">
        <v>7</v>
      </c>
      <c r="C24" s="11">
        <v>1397</v>
      </c>
      <c r="D24" s="11">
        <v>1297</v>
      </c>
      <c r="E24" s="11">
        <v>322</v>
      </c>
      <c r="F24" s="11">
        <v>21</v>
      </c>
    </row>
    <row r="25" spans="2:9" x14ac:dyDescent="0.3">
      <c r="B25" s="4" t="s">
        <v>8</v>
      </c>
      <c r="C25" s="11">
        <v>1121</v>
      </c>
      <c r="D25" s="11">
        <v>1172</v>
      </c>
      <c r="E25" s="11">
        <v>334</v>
      </c>
      <c r="F25" s="11">
        <v>26</v>
      </c>
    </row>
    <row r="26" spans="2:9" x14ac:dyDescent="0.3">
      <c r="B26" s="4" t="s">
        <v>9</v>
      </c>
      <c r="C26" s="11">
        <v>547</v>
      </c>
      <c r="D26" s="11">
        <v>683</v>
      </c>
      <c r="E26" s="11">
        <v>201</v>
      </c>
      <c r="F26" s="11">
        <v>15</v>
      </c>
    </row>
    <row r="27" spans="2:9" x14ac:dyDescent="0.3">
      <c r="B27" s="4" t="s">
        <v>10</v>
      </c>
      <c r="C27" s="11">
        <v>122</v>
      </c>
      <c r="D27" s="11">
        <v>150</v>
      </c>
      <c r="E27" s="11">
        <v>56</v>
      </c>
      <c r="F27" s="11">
        <v>7</v>
      </c>
    </row>
    <row r="28" spans="2:9" x14ac:dyDescent="0.3">
      <c r="B28" s="4" t="s">
        <v>11</v>
      </c>
      <c r="C28" s="11">
        <v>28</v>
      </c>
      <c r="D28" s="11">
        <v>22</v>
      </c>
      <c r="E28" s="11">
        <v>8</v>
      </c>
      <c r="F28" s="11">
        <v>0</v>
      </c>
    </row>
    <row r="29" spans="2:9" x14ac:dyDescent="0.3">
      <c r="B29" s="4" t="s">
        <v>12</v>
      </c>
      <c r="C29" s="11">
        <v>6</v>
      </c>
      <c r="D29" s="11">
        <v>6</v>
      </c>
      <c r="E29" s="11">
        <v>0</v>
      </c>
      <c r="F29" s="11">
        <v>0</v>
      </c>
    </row>
    <row r="31" spans="2:9" x14ac:dyDescent="0.3">
      <c r="I31" s="1"/>
    </row>
    <row r="32" spans="2:9" x14ac:dyDescent="0.3">
      <c r="I32" s="1"/>
    </row>
    <row r="33" spans="2:9" x14ac:dyDescent="0.3">
      <c r="B33" s="3" t="s">
        <v>38</v>
      </c>
      <c r="C33" s="3" t="s">
        <v>26</v>
      </c>
      <c r="D33" s="3" t="s">
        <v>28</v>
      </c>
      <c r="E33" s="3" t="s">
        <v>35</v>
      </c>
      <c r="F33" s="3" t="s">
        <v>36</v>
      </c>
      <c r="G33" s="3" t="s">
        <v>37</v>
      </c>
      <c r="I33" s="1"/>
    </row>
    <row r="34" spans="2:9" x14ac:dyDescent="0.3">
      <c r="B34" s="4" t="s">
        <v>14</v>
      </c>
      <c r="C34" s="11">
        <v>1518</v>
      </c>
      <c r="D34" s="11">
        <v>32872225</v>
      </c>
      <c r="E34" s="10">
        <v>47.56</v>
      </c>
      <c r="F34" s="10">
        <v>45.04</v>
      </c>
      <c r="G34" s="2">
        <v>14.79</v>
      </c>
      <c r="I34" s="1"/>
    </row>
    <row r="35" spans="2:9" x14ac:dyDescent="0.3">
      <c r="B35" s="4" t="s">
        <v>15</v>
      </c>
      <c r="C35" s="11">
        <v>3336</v>
      </c>
      <c r="D35" s="11">
        <v>47059050</v>
      </c>
      <c r="E35" s="10">
        <v>53.51</v>
      </c>
      <c r="F35" s="10">
        <v>50.77</v>
      </c>
      <c r="G35" s="2">
        <v>16.64</v>
      </c>
      <c r="I35" s="1"/>
    </row>
    <row r="36" spans="2:9" x14ac:dyDescent="0.3">
      <c r="B36" s="4" t="s">
        <v>16</v>
      </c>
      <c r="C36" s="11">
        <v>2349</v>
      </c>
      <c r="D36" s="11">
        <v>41753750</v>
      </c>
      <c r="E36" s="10">
        <v>52.66</v>
      </c>
      <c r="F36" s="10">
        <v>49.05</v>
      </c>
      <c r="G36" s="2">
        <v>16.079999999999998</v>
      </c>
    </row>
    <row r="37" spans="2:9" x14ac:dyDescent="0.3">
      <c r="B37" s="4" t="s">
        <v>17</v>
      </c>
      <c r="C37" s="11">
        <v>805</v>
      </c>
      <c r="D37" s="11">
        <v>20162625</v>
      </c>
      <c r="E37" s="10">
        <v>49.69</v>
      </c>
      <c r="F37" s="10">
        <v>48.16</v>
      </c>
      <c r="G37" s="2">
        <v>15.34</v>
      </c>
    </row>
    <row r="38" spans="2:9" x14ac:dyDescent="0.3">
      <c r="B38" s="4" t="s">
        <v>18</v>
      </c>
      <c r="C38" s="11">
        <v>1992</v>
      </c>
      <c r="D38" s="11">
        <v>21771575</v>
      </c>
      <c r="E38" s="10">
        <v>55.07</v>
      </c>
      <c r="F38" s="10">
        <v>52.84</v>
      </c>
      <c r="G38" s="2">
        <v>16.57</v>
      </c>
    </row>
    <row r="42" spans="2:9" x14ac:dyDescent="0.3">
      <c r="B42" s="3" t="s">
        <v>39</v>
      </c>
      <c r="C42" s="3" t="s">
        <v>26</v>
      </c>
      <c r="D42" s="3" t="s">
        <v>28</v>
      </c>
      <c r="E42" s="3" t="s">
        <v>35</v>
      </c>
      <c r="F42" s="3" t="s">
        <v>36</v>
      </c>
      <c r="G42" s="3" t="s">
        <v>37</v>
      </c>
    </row>
    <row r="43" spans="2:9" x14ac:dyDescent="0.3">
      <c r="B43" s="4" t="s">
        <v>19</v>
      </c>
      <c r="C43" s="11">
        <v>1484</v>
      </c>
      <c r="D43" s="11">
        <v>10835700</v>
      </c>
      <c r="E43" s="10">
        <v>57.82</v>
      </c>
      <c r="F43" s="10">
        <v>58.06</v>
      </c>
      <c r="G43" s="2">
        <v>18.510000000000002</v>
      </c>
    </row>
    <row r="44" spans="2:9" x14ac:dyDescent="0.3">
      <c r="B44" s="4" t="s">
        <v>20</v>
      </c>
      <c r="C44" s="11">
        <v>1981</v>
      </c>
      <c r="D44" s="11">
        <v>45530550</v>
      </c>
      <c r="E44" s="10">
        <v>49.57</v>
      </c>
      <c r="F44" s="10">
        <v>49.32</v>
      </c>
      <c r="G44" s="2">
        <v>14.84</v>
      </c>
    </row>
    <row r="45" spans="2:9" x14ac:dyDescent="0.3">
      <c r="B45" s="4" t="s">
        <v>21</v>
      </c>
      <c r="C45" s="11">
        <v>1549</v>
      </c>
      <c r="D45" s="11">
        <v>53982325</v>
      </c>
      <c r="E45" s="10">
        <v>42.87</v>
      </c>
      <c r="F45" s="10">
        <v>42.37</v>
      </c>
      <c r="G45" s="2">
        <v>12.98</v>
      </c>
    </row>
    <row r="46" spans="2:9" x14ac:dyDescent="0.3">
      <c r="B46" s="4" t="s">
        <v>22</v>
      </c>
      <c r="C46" s="11">
        <v>1339</v>
      </c>
      <c r="D46" s="11">
        <v>4916025</v>
      </c>
      <c r="E46" s="10">
        <v>55.64</v>
      </c>
      <c r="F46" s="10">
        <v>55.72</v>
      </c>
      <c r="G46" s="2">
        <v>17.29</v>
      </c>
    </row>
    <row r="47" spans="2:9" x14ac:dyDescent="0.3">
      <c r="B47" s="4" t="s">
        <v>23</v>
      </c>
      <c r="C47" s="11">
        <v>3647</v>
      </c>
      <c r="D47" s="11">
        <v>48354625</v>
      </c>
      <c r="E47" s="10">
        <v>54.62</v>
      </c>
      <c r="F47" s="10">
        <v>53.85</v>
      </c>
      <c r="G47" s="2">
        <v>16.72</v>
      </c>
    </row>
    <row r="49" spans="4:5" x14ac:dyDescent="0.3">
      <c r="D49" s="16" t="s">
        <v>40</v>
      </c>
      <c r="E49" s="16"/>
    </row>
    <row r="50" spans="4:5" x14ac:dyDescent="0.3">
      <c r="D50" s="16"/>
      <c r="E50" s="16"/>
    </row>
    <row r="51" spans="4:5" x14ac:dyDescent="0.3">
      <c r="D51" s="16"/>
      <c r="E51" s="16"/>
    </row>
  </sheetData>
  <mergeCells count="2">
    <mergeCell ref="C21:E21"/>
    <mergeCell ref="D49:E51"/>
  </mergeCells>
  <conditionalFormatting sqref="E43:E47">
    <cfRule type="dataBar" priority="7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{43B68DCF-876B-4C8E-B087-0AC951D3CEF4}</x14:id>
        </ext>
      </extLst>
    </cfRule>
    <cfRule type="dataBar" priority="1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{8A4C17AE-22F1-491D-9537-640AB33AB38C}</x14:id>
        </ext>
      </extLst>
    </cfRule>
  </conditionalFormatting>
  <conditionalFormatting sqref="E5:F8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{D9C7F895-1449-4A5B-93C6-846E54290BD3}</x14:id>
        </ext>
      </extLst>
    </cfRule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{330C293A-C6DB-441B-B5EA-5C415DE65A42}</x14:id>
        </ext>
      </extLst>
    </cfRule>
  </conditionalFormatting>
  <conditionalFormatting sqref="E34:F38">
    <cfRule type="dataBar" priority="3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{B51C5CC8-10C3-40EA-804F-0AE2A23EAFBC}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{A149E58A-1B4C-4873-84CE-2ADE5D06E894}</x14:id>
        </ext>
      </extLst>
    </cfRule>
  </conditionalFormatting>
  <conditionalFormatting sqref="F43:F47">
    <cfRule type="dataBar" priority="5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{A8CFEA20-D9C3-4EA5-AC88-B774E52EBCC2}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{9D085535-DB35-4579-A400-6EB880B7357F}</x14:id>
        </ext>
      </extLst>
    </cfRule>
  </conditionalFormatting>
  <conditionalFormatting sqref="I34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{DB17D701-98AD-4B88-A02A-48B4BA0E56EC}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68DCF-876B-4C8E-B087-0AC951D3CEF4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C17AE-22F1-491D-9537-640AB33AB38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E43:E47</xm:sqref>
        </x14:conditionalFormatting>
        <x14:conditionalFormatting xmlns:xm="http://schemas.microsoft.com/office/excel/2006/main">
          <x14:cfRule type="dataBar" id="{D9C7F895-1449-4A5B-93C6-846E54290BD3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0C293A-C6DB-441B-B5EA-5C415DE65A4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E5:F8</xm:sqref>
        </x14:conditionalFormatting>
        <x14:conditionalFormatting xmlns:xm="http://schemas.microsoft.com/office/excel/2006/main">
          <x14:cfRule type="dataBar" id="{B51C5CC8-10C3-40EA-804F-0AE2A23EAFBC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149E58A-1B4C-4873-84CE-2ADE5D06E894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E34:F38</xm:sqref>
        </x14:conditionalFormatting>
        <x14:conditionalFormatting xmlns:xm="http://schemas.microsoft.com/office/excel/2006/main">
          <x14:cfRule type="dataBar" id="{A8CFEA20-D9C3-4EA5-AC88-B774E52EBCC2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D085535-DB35-4579-A400-6EB880B7357F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F43:F47</xm:sqref>
        </x14:conditionalFormatting>
        <x14:conditionalFormatting xmlns:xm="http://schemas.microsoft.com/office/excel/2006/main">
          <x14:cfRule type="dataBar" id="{DB17D701-98AD-4B88-A02A-48B4BA0E5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Saraf</dc:creator>
  <cp:lastModifiedBy>Piyush Saraf</cp:lastModifiedBy>
  <dcterms:created xsi:type="dcterms:W3CDTF">2026-02-03T11:29:38Z</dcterms:created>
  <dcterms:modified xsi:type="dcterms:W3CDTF">2026-02-05T14:20:01Z</dcterms:modified>
</cp:coreProperties>
</file>